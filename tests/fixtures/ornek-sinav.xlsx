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040"/>
  </bookViews>
  <sheets>
    <sheet sheetId="3" name="Final Geçenler+Bütünleme giren" state="visible" r:id="rId4"/>
  </sheets>
  <definedNames>
    <definedName name="oc">'Final Geçenler+Bütünleme giren'!$B$4:$AA$14</definedName>
    <definedName name="_xlnm.Print_Area" localSheetId="0">'Final Geçenler+Bütünleme giren'!$A18:$D39</definedName>
  </definedNames>
  <calcPr calcId="171027"/>
</workbook>
</file>

<file path=xl/sharedStrings.xml><?xml version="1.0" encoding="utf-8"?>
<sst xmlns="http://schemas.openxmlformats.org/spreadsheetml/2006/main" count="222" uniqueCount="154">
  <si>
    <t>Ders Kodu</t>
  </si>
  <si>
    <t>Soruların Puanları ve Öğrencilerin aldığı puanlar</t>
  </si>
  <si>
    <t>Doğru Cevapların Yüzdesi</t>
  </si>
  <si>
    <t>Dönem</t>
  </si>
  <si>
    <t>Doğru Cevapların Ortalaması</t>
  </si>
  <si>
    <t>2025-2026 bahar</t>
  </si>
  <si>
    <t>Sorular</t>
  </si>
  <si>
    <t>Soru 1</t>
  </si>
  <si>
    <t>Soru 2</t>
  </si>
  <si>
    <t>Soru 3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</si>
  <si>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</si>
  <si>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</si>
  <si>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</si>
  <si>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</si>
  <si>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</si>
  <si>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</si>
  <si>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</si>
  <si>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</si>
  <si>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</si>
  <si>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Soru 13</t>
  </si>
  <si>
    <t>Soru 14</t>
  </si>
  <si>
    <t>Soru 15</t>
  </si>
  <si>
    <t>Soru 16</t>
  </si>
  <si>
    <t>Soru 17</t>
  </si>
  <si>
    <t>Soru 18</t>
  </si>
  <si>
    <t>Soru 19</t>
  </si>
  <si>
    <t>Soru 20</t>
  </si>
  <si>
    <t>Soru 21</t>
  </si>
  <si>
    <t>Soru 22</t>
  </si>
  <si>
    <t>Soru 23</t>
  </si>
  <si>
    <t>Soru 24</t>
  </si>
  <si>
    <t>Soru 25</t>
  </si>
  <si>
    <t>Ortalama</t>
  </si>
  <si>
    <t>Sınav Türü</t>
  </si>
  <si>
    <t>Öç1</t>
  </si>
  <si>
    <t>Final</t>
  </si>
  <si>
    <t>Öç2</t>
  </si>
  <si>
    <t>Şube</t>
  </si>
  <si>
    <t>Öç3</t>
  </si>
  <si>
    <t>A</t>
  </si>
  <si>
    <t>Öç4</t>
  </si>
  <si>
    <t>Öğretim Elemanı</t>
  </si>
  <si>
    <t>Öç5</t>
  </si>
  <si>
    <t>Öğr.Gör. Örnek Hoca</t>
  </si>
  <si>
    <t>Öç6</t>
  </si>
  <si>
    <t>Program</t>
  </si>
  <si>
    <t>Öç7</t>
  </si>
  <si>
    <t>Web Tasarım ve Kodlama</t>
  </si>
  <si>
    <t>Öç8</t>
  </si>
  <si>
    <t>Öç9</t>
  </si>
  <si>
    <t>Öç10</t>
  </si>
  <si>
    <t>Sınıfın Not Ortalaması</t>
  </si>
  <si>
    <t>Soruların Tam Puanları</t>
  </si>
  <si>
    <t>Okul No</t>
  </si>
  <si>
    <t>Öğrenci No</t>
  </si>
  <si>
    <t>Öğrenci Notu</t>
  </si>
  <si>
    <t>Harf Notu</t>
  </si>
  <si>
    <t>9000000001</t>
  </si>
  <si>
    <t>Öğrenci 1</t>
  </si>
  <si>
    <t>FD</t>
  </si>
  <si>
    <t>9000000002</t>
  </si>
  <si>
    <t>Öğrenci 2</t>
  </si>
  <si>
    <t>9000000003</t>
  </si>
  <si>
    <t>Öğrenci 3</t>
  </si>
  <si>
    <t>BB</t>
  </si>
  <si>
    <t>9000000004</t>
  </si>
  <si>
    <t>Öğrenci 4</t>
  </si>
  <si>
    <t>9000000005</t>
  </si>
  <si>
    <t>Öğrenci 5</t>
  </si>
  <si>
    <t>9000000006</t>
  </si>
  <si>
    <t>Öğrenci 6</t>
  </si>
  <si>
    <t>9000000007</t>
  </si>
  <si>
    <t>Öğrenci 7</t>
  </si>
  <si>
    <t>9000000008</t>
  </si>
  <si>
    <t>Öğrenci 8</t>
  </si>
  <si>
    <t>9000000009</t>
  </si>
  <si>
    <t>Öğrenci 9</t>
  </si>
  <si>
    <t>9000000010</t>
  </si>
  <si>
    <t>Öğrenci 10</t>
  </si>
  <si>
    <t>9000000011</t>
  </si>
  <si>
    <t>Öğrenci 11</t>
  </si>
  <si>
    <t>9000000012</t>
  </si>
  <si>
    <t>Öğrenci 12</t>
  </si>
  <si>
    <t>9000000013</t>
  </si>
  <si>
    <t>Öğrenci 13</t>
  </si>
  <si>
    <t>9000000014</t>
  </si>
  <si>
    <t>Öğrenci 14</t>
  </si>
  <si>
    <t>9000000015</t>
  </si>
  <si>
    <t>Öğrenci 15</t>
  </si>
  <si>
    <t>9000000016</t>
  </si>
  <si>
    <t>Öğrenci 16</t>
  </si>
  <si>
    <t>9000000017</t>
  </si>
  <si>
    <t>Öğrenci 17</t>
  </si>
  <si>
    <t>9000000018</t>
  </si>
  <si>
    <t>Öğrenci 18</t>
  </si>
  <si>
    <t>9000000019</t>
  </si>
  <si>
    <t>Öğrenci 19</t>
  </si>
  <si>
    <t>AA</t>
  </si>
  <si>
    <t>9000000020</t>
  </si>
  <si>
    <t>Öğrenci 20</t>
  </si>
  <si>
    <t>9000000021</t>
  </si>
  <si>
    <t>Öğrenci 21</t>
  </si>
  <si>
    <t>9000000022</t>
  </si>
  <si>
    <t>Öğrenci 22</t>
  </si>
  <si>
    <t>9000000023</t>
  </si>
  <si>
    <t>Öğrenci 23</t>
  </si>
  <si>
    <t>9000000024</t>
  </si>
  <si>
    <t>Öğrenci 24</t>
  </si>
  <si>
    <t>9000000025</t>
  </si>
  <si>
    <t>Öğrenci 25</t>
  </si>
  <si>
    <t>9000000026</t>
  </si>
  <si>
    <t>Öğrenci 26</t>
  </si>
  <si>
    <t>9000000027</t>
  </si>
  <si>
    <t>Öğrenci 27</t>
  </si>
  <si>
    <t>9000000028</t>
  </si>
  <si>
    <t>Öğrenci 28</t>
  </si>
  <si>
    <t>9000000029</t>
  </si>
  <si>
    <t>Öğrenci 29</t>
  </si>
  <si>
    <t>9000000030</t>
  </si>
  <si>
    <t>Öğrenci 30</t>
  </si>
  <si>
    <t>9000000031</t>
  </si>
  <si>
    <t>Öğrenci 31</t>
  </si>
  <si>
    <t>9000000032</t>
  </si>
  <si>
    <t>Öğrenci 32</t>
  </si>
  <si>
    <t>9000000033</t>
  </si>
  <si>
    <t>Öğrenci 33</t>
  </si>
  <si>
    <t>9000000034</t>
  </si>
  <si>
    <t>Öğrenci 34</t>
  </si>
  <si>
    <t>9000000035</t>
  </si>
  <si>
    <t>Öğrenci 35</t>
  </si>
  <si>
    <t>9000000036</t>
  </si>
  <si>
    <t>Öğrenci 36</t>
  </si>
  <si>
    <t>9000000037</t>
  </si>
  <si>
    <t>Öğrenci 37</t>
  </si>
  <si>
    <t>9000000038</t>
  </si>
  <si>
    <t>Öğrenci 38</t>
  </si>
  <si>
    <t>9000000039</t>
  </si>
  <si>
    <t>Öğrenci 39</t>
  </si>
  <si>
    <t>9000000040</t>
  </si>
  <si>
    <t>Öğrenci 40</t>
  </si>
  <si>
    <t>9000000041</t>
  </si>
  <si>
    <t>Öğrenci 41</t>
  </si>
  <si>
    <t>9000000042</t>
  </si>
  <si>
    <t>Öğrenci 42</t>
  </si>
  <si>
    <t>9000000043</t>
  </si>
  <si>
    <t>Öğrenci 43</t>
  </si>
  <si>
    <t>9000000044</t>
  </si>
  <si>
    <t>Öğrenci 44</t>
  </si>
  <si>
    <t>9000000045</t>
  </si>
  <si>
    <t>Öğrenci 45</t>
  </si>
  <si>
    <t>9000000046</t>
  </si>
  <si>
    <t>Öğrenci 46</t>
  </si>
  <si>
    <t>9000000047</t>
  </si>
  <si>
    <t>Öğrenci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</si>
</sst>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13" x14ac:knownFonts="1">
    <font>
      <color theme="1"/>
      <family val="2"/>
      <scheme val="minor"/>
      <sz val="11"/>
      <name val="Calibri"/>
    </font>
    <font>
      <b/>
      <charset val="162"/>
      <family val="2"/>
      <sz val="11"/>
      <name val="Arial"/>
    </font>
    <font>
      <b/>
      <charset val="162"/>
      <family val="2"/>
      <sz val="10"/>
      <name val="Arial"/>
    </font>
    <font>
      <charset val="162"/>
      <color rgb="FFFF0000"/>
      <family val="2"/>
      <sz val="12"/>
      <name val="Arial"/>
    </font>
    <font>
      <charset val="1"/>
      <sz val="10"/>
      <name val="Arial"/>
    </font>
    <font>
      <charset val="162"/>
      <family val="2"/>
      <sz val="10"/>
      <name val="Arial"/>
    </font>
    <font>
      <charset val="1"/>
      <color rgb="FF002060"/>
      <family val="1"/>
      <sz val="12"/>
      <name val="Times New Roman"/>
    </font>
    <font>
      <charset val="1"/>
      <family val="2"/>
      <sz val="11"/>
      <name val="Aptos"/>
    </font>
    <font>
      <charset val="162"/>
      <color rgb="FFFF0000"/>
      <family val="2"/>
      <sz val="10"/>
      <name val="Arial"/>
    </font>
    <font>
      <b/>
      <charset val="162"/>
      <family val="2"/>
      <sz val="12"/>
      <name val="Arial"/>
    </font>
    <font>
      <b/>
      <charset val="1"/>
      <color rgb="FF002060"/>
      <family val="1"/>
      <sz val="12"/>
      <name val="Times New Roman"/>
    </font>
    <font>
      <color indexed="8"/>
      <family val="2"/>
      <sz val="6"/>
      <name val="Tahoma"/>
    </font>
    <font>
      <charset val="162"/>
      <color indexed="8"/>
      <family val="2"/>
      <sz val="6"/>
      <name val="Tahoma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wrapText="1"/>
    </xf>
    <xf numFmtId="9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 textRotation="90"/>
    </xf>
    <xf numFmtId="0" fontId="4" fillId="0" borderId="4" xfId="0" applyFont="1" applyBorder="1"/>
    <xf numFmtId="9" fontId="6" fillId="2" borderId="1" xfId="0" applyNumberFormat="1" applyFont="1" applyFill="1" applyBorder="1" applyAlignment="1" applyProtection="1">
      <alignment horizontal="center"/>
      <protection locked="0"/>
    </xf>
    <xf numFmtId="9" fontId="4" fillId="2" borderId="1" xfId="0" applyNumberFormat="1" applyFont="1" applyFill="1" applyBorder="1" applyAlignment="1" applyProtection="1">
      <alignment horizontal="center"/>
      <protection locked="0"/>
    </xf>
    <xf numFmtId="9" fontId="2" fillId="0" borderId="3" xfId="0" applyNumberFormat="1" applyFont="1" applyBorder="1" applyAlignment="1">
      <alignment horizontal="center" vertical="center"/>
    </xf>
    <xf numFmtId="9" fontId="7" fillId="2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8" fillId="0" borderId="1" xfId="0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/>
    <xf numFmtId="0" fontId="2" fillId="2" borderId="1" xfId="0" applyFont="1" applyFill="1" applyBorder="1" applyProtection="1">
      <protection locked="0"/>
    </xf>
    <xf numFmtId="9" fontId="2" fillId="2" borderId="1" xfId="0" applyNumberFormat="1" applyFont="1" applyFill="1" applyBorder="1" applyAlignment="1" applyProtection="1">
      <alignment horizontal="center" vertical="center"/>
      <protection locked="0"/>
    </xf>
    <xf numFmtId="9" fontId="2" fillId="0" borderId="6" xfId="0" applyNumberFormat="1" applyFont="1" applyBorder="1" applyAlignment="1">
      <alignment vertical="center"/>
    </xf>
    <xf numFmtId="0" fontId="11" fillId="2" borderId="7" xfId="0" applyFont="1" applyFill="1" applyBorder="1" applyAlignment="1" applyProtection="1">
      <alignment horizontal="left" vertical="center" readingOrder="1"/>
      <protection locked="0"/>
    </xf>
    <xf numFmtId="0" fontId="12" fillId="2" borderId="8" xfId="0" applyFont="1" applyFill="1" applyBorder="1" applyAlignment="1" applyProtection="1">
      <alignment vertical="center" readingOrder="1"/>
      <protection locked="0"/>
    </xf>
    <xf numFmtId="0" fontId="4" fillId="2" borderId="9" xfId="0" applyFont="1" applyFill="1" applyBorder="1" applyProtection="1">
      <protection locked="0"/>
    </xf>
    <xf numFmtId="0" fontId="4" fillId="0" borderId="6" xfId="0" applyFont="1" applyBorder="1"/>
    <xf numFmtId="0" fontId="12" fillId="2" borderId="10" xfId="0" applyFont="1" applyFill="1" applyBorder="1" applyAlignment="1" applyProtection="1">
      <alignment horizontal="left" vertical="center" readingOrder="1"/>
      <protection locked="0"/>
    </xf>
    <xf numFmtId="0" fontId="12" fillId="2" borderId="11" xfId="0" applyFont="1" applyFill="1" applyBorder="1" applyAlignment="1" applyProtection="1">
      <alignment vertical="center" readingOrder="1"/>
      <protection locked="0"/>
    </xf>
    <xf numFmtId="0" fontId="4" fillId="2" borderId="1" xfId="0" applyFont="1" applyFill="1" applyBorder="1" applyProtection="1">
      <protection locked="0"/>
    </xf>
    <xf numFmtId="0" fontId="11" fillId="2" borderId="10" xfId="0" applyFont="1" applyFill="1" applyBorder="1" applyAlignment="1" applyProtection="1">
      <alignment horizontal="left" vertical="center" readingOrder="1"/>
      <protection locked="0"/>
    </xf>
    <xf numFmtId="0" fontId="12" fillId="2" borderId="12" xfId="0" applyFont="1" applyFill="1" applyBorder="1" applyAlignment="1" applyProtection="1">
      <alignment horizontal="left" vertical="center" readingOrder="1"/>
      <protection locked="0"/>
    </xf>
    <xf numFmtId="0" fontId="12" fillId="2" borderId="13" xfId="0" applyFont="1" applyFill="1" applyBorder="1" applyAlignment="1" applyProtection="1">
      <alignment vertical="center" readingOrder="1"/>
      <protection locked="0"/>
    </xf>
    <xf numFmtId="0" fontId="4" fillId="2" borderId="3" xfId="0" applyFont="1" applyFill="1" applyBorder="1" applyProtection="1"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7"/>
  <sheetViews>
    <sheetView workbookViewId="0" zoomScale="100" zoomScaleNormal="100">
      <selection activeCell="A12" sqref="A12"/>
    </sheetView>
  </sheetViews>
  <sheetFormatPr defaultRowHeight="12.75" outlineLevelRow="0" outlineLevelCol="0" x14ac:dyDescent="0.2" defaultColWidth="8.85546875" customHeight="1"/>
  <cols>
    <col min="1" max="1" width="38.140625" customWidth="1"/>
    <col min="2" max="2" width="23.140625" customWidth="1"/>
    <col min="3" max="4" width="5.7109375" customWidth="1"/>
    <col min="5" max="5" width="6.28515625" customWidth="1"/>
    <col min="6" max="7" width="5.7109375" customWidth="1"/>
    <col min="8" max="9" width="6.28515625" customWidth="1"/>
    <col min="10" max="10" width="5.140625" customWidth="1"/>
    <col min="11" max="12" width="5.7109375" customWidth="1"/>
    <col min="13" max="27" width="3.28515625" customWidth="1"/>
    <col min="28" max="28" width="12.85546875" customWidth="1"/>
  </cols>
  <sheetData>
    <row r="1" ht="15" customHeight="1" spans="1:27" x14ac:dyDescent="0.25">
      <c r="A1" s="1" t="s">
        <v>0</v>
      </c>
      <c r="B1" s="2" t="s">
        <v>1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" customHeight="1" spans="1:27" x14ac:dyDescent="0.25">
      <c r="A2" s="4">
        <v>25627</v>
      </c>
      <c r="B2" s="5" t="s">
        <v>2</v>
      </c>
      <c r="C2" s="6">
        <f>IFERROR(C3/C16,"")</f>
        <v>0.8782608695652174</v>
      </c>
      <c r="D2" s="6">
        <f t="shared" ref="D2:AA2" si="0">IFERROR(D3/D16,"")</f>
        <v>0.5652173913043479</v>
      </c>
      <c r="E2" s="6">
        <f t="shared" si="0"/>
        <v>0.7434782608695653</v>
      </c>
      <c r="F2" s="6">
        <f t="shared" si="0"/>
        <v>0.9086956521739131</v>
      </c>
      <c r="G2" s="6">
        <f t="shared" si="0"/>
        <v>0.6260869565217392</v>
      </c>
      <c r="H2" s="6">
        <f t="shared" si="0"/>
        <v>0.2847826086956522</v>
      </c>
      <c r="I2" s="6">
        <f t="shared" si="0"/>
        <v>0.8782608695652174</v>
      </c>
      <c r="J2" s="6">
        <f t="shared" si="0"/>
        <v>0.7086956521739131</v>
      </c>
      <c r="K2" s="6">
        <f t="shared" si="0"/>
        <v>0.4391304347826087</v>
      </c>
      <c r="L2" s="6">
        <f t="shared" si="0"/>
        <v>0.5847826086956521</v>
      </c>
      <c r="M2" s="6">
        <f t="shared" si="0"/>
      </c>
      <c r="N2" s="6">
        <f t="shared" si="0"/>
      </c>
      <c r="O2" s="6">
        <f t="shared" si="0"/>
      </c>
      <c r="P2" s="6">
        <f t="shared" si="0"/>
      </c>
      <c r="Q2" s="6">
        <f t="shared" si="0"/>
      </c>
      <c r="R2" s="6">
        <f t="shared" si="0"/>
      </c>
      <c r="S2" s="6">
        <f t="shared" si="0"/>
      </c>
      <c r="T2" s="6">
        <f t="shared" si="0"/>
      </c>
      <c r="U2" s="6">
        <f t="shared" si="0"/>
      </c>
      <c r="V2" s="6">
        <f t="shared" si="0"/>
      </c>
      <c r="W2" s="6">
        <f t="shared" si="0"/>
      </c>
      <c r="X2" s="6">
        <f t="shared" si="0"/>
      </c>
      <c r="Y2" s="6">
        <f t="shared" si="0"/>
      </c>
      <c r="Z2" s="6">
        <f t="shared" si="0"/>
      </c>
      <c r="AA2" s="6">
        <f t="shared" si="0"/>
      </c>
    </row>
    <row r="3" ht="25.5" customHeight="1" spans="1:27" x14ac:dyDescent="0.25">
      <c r="A3" s="1" t="s">
        <v>3</v>
      </c>
      <c r="B3" s="7" t="s">
        <v>4</v>
      </c>
      <c r="C3" s="8">
        <f>IFERROR(AVERAGE(C18:C64),"")</f>
        <v>4.391304347826087</v>
      </c>
      <c r="D3" s="8">
        <f t="shared" ref="D3:AA3" si="1">IFERROR(AVERAGE(D18:D64),"")</f>
        <v>2.8260869565217392</v>
      </c>
      <c r="E3" s="8">
        <f t="shared" si="1"/>
        <v>3.717391304347826</v>
      </c>
      <c r="F3" s="8">
        <f t="shared" si="1"/>
        <v>4.543478260869565</v>
      </c>
      <c r="G3" s="8">
        <f t="shared" si="1"/>
        <v>6.260869565217392</v>
      </c>
      <c r="H3" s="8">
        <f t="shared" si="1"/>
        <v>2.847826086956522</v>
      </c>
      <c r="I3" s="8">
        <f t="shared" si="1"/>
        <v>8.782608695652174</v>
      </c>
      <c r="J3" s="8">
        <f t="shared" si="1"/>
        <v>7.086956521739131</v>
      </c>
      <c r="K3" s="8">
        <f t="shared" si="1"/>
        <v>8.782608695652174</v>
      </c>
      <c r="L3" s="8">
        <f t="shared" si="1"/>
        <v>11.695652173913043</v>
      </c>
      <c r="M3" s="8">
        <f t="shared" si="1"/>
      </c>
      <c r="N3" s="8">
        <f t="shared" si="1"/>
      </c>
      <c r="O3" s="8">
        <f t="shared" si="1"/>
      </c>
      <c r="P3" s="8">
        <f t="shared" si="1"/>
      </c>
      <c r="Q3" s="8">
        <f t="shared" si="1"/>
      </c>
      <c r="R3" s="8">
        <f t="shared" si="1"/>
      </c>
      <c r="S3" s="8">
        <f t="shared" si="1"/>
      </c>
      <c r="T3" s="8">
        <f t="shared" si="1"/>
      </c>
      <c r="U3" s="8">
        <f t="shared" si="1"/>
      </c>
      <c r="V3" s="8">
        <f t="shared" si="1"/>
      </c>
      <c r="W3" s="8">
        <f t="shared" si="1"/>
      </c>
      <c r="X3" s="8">
        <f t="shared" si="1"/>
      </c>
      <c r="Y3" s="8">
        <f t="shared" si="1"/>
      </c>
      <c r="Z3" s="8">
        <f t="shared" si="1"/>
      </c>
      <c r="AA3" s="8">
        <f t="shared" si="1"/>
      </c>
    </row>
    <row r="4" ht="45" customHeight="1" spans="1:28" x14ac:dyDescent="0.25">
      <c r="A4" s="4" t="s">
        <v>5</v>
      </c>
      <c r="B4" s="9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  <c r="T4" s="10" t="s">
        <v>24</v>
      </c>
      <c r="U4" s="10" t="s">
        <v>25</v>
      </c>
      <c r="V4" s="10" t="s">
        <v>26</v>
      </c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</row>
    <row r="5" ht="15.75" customHeight="1" spans="1:28" x14ac:dyDescent="0.25">
      <c r="A5" s="1" t="s">
        <v>33</v>
      </c>
      <c r="B5" s="11" t="s">
        <v>34</v>
      </c>
      <c r="C5" s="12">
        <v>0.25</v>
      </c>
      <c r="D5" s="12"/>
      <c r="E5" s="12"/>
      <c r="F5" s="12"/>
      <c r="G5" s="12">
        <v>0.25</v>
      </c>
      <c r="H5" s="12"/>
      <c r="I5" s="12"/>
      <c r="J5" s="12"/>
      <c r="K5" s="12">
        <v>0.5</v>
      </c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4"/>
    </row>
    <row r="6" ht="15.75" customHeight="1" spans="1:28" x14ac:dyDescent="0.25">
      <c r="A6" s="4" t="s">
        <v>35</v>
      </c>
      <c r="B6" s="11" t="s">
        <v>36</v>
      </c>
      <c r="C6" s="12"/>
      <c r="D6" s="12"/>
      <c r="E6" s="12"/>
      <c r="F6" s="12">
        <v>0.5</v>
      </c>
      <c r="G6" s="15"/>
      <c r="H6" s="12"/>
      <c r="I6" s="12">
        <v>1</v>
      </c>
      <c r="J6" s="12">
        <v>0.5</v>
      </c>
      <c r="K6" s="12"/>
      <c r="L6" s="12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</row>
    <row r="7" ht="15.75" customHeight="1" spans="1:28" x14ac:dyDescent="0.25">
      <c r="A7" s="16" t="s">
        <v>37</v>
      </c>
      <c r="B7" s="17" t="s">
        <v>38</v>
      </c>
      <c r="C7" s="12"/>
      <c r="D7" s="12">
        <v>0.5</v>
      </c>
      <c r="E7" s="12"/>
      <c r="F7" s="12"/>
      <c r="G7" s="15">
        <v>0.25</v>
      </c>
      <c r="H7" s="12">
        <v>1</v>
      </c>
      <c r="I7" s="12"/>
      <c r="J7" s="12"/>
      <c r="K7" s="12"/>
      <c r="L7" s="12">
        <v>0.25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</row>
    <row r="8" ht="15.75" customHeight="1" spans="1:28" x14ac:dyDescent="0.25">
      <c r="A8" s="4" t="s">
        <v>39</v>
      </c>
      <c r="B8" s="17" t="s">
        <v>40</v>
      </c>
      <c r="C8" s="12">
        <v>0.75</v>
      </c>
      <c r="D8" s="12"/>
      <c r="E8" s="12"/>
      <c r="F8" s="12">
        <v>0.5</v>
      </c>
      <c r="G8" s="15"/>
      <c r="H8" s="12"/>
      <c r="I8" s="12"/>
      <c r="J8" s="12">
        <v>0.5</v>
      </c>
      <c r="K8" s="12"/>
      <c r="L8" s="12">
        <v>0.75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</row>
    <row r="9" ht="15.75" customHeight="1" spans="1:28" x14ac:dyDescent="0.25">
      <c r="A9" s="16" t="s">
        <v>41</v>
      </c>
      <c r="B9" s="17" t="s">
        <v>42</v>
      </c>
      <c r="C9" s="12"/>
      <c r="D9" s="12">
        <v>0.5</v>
      </c>
      <c r="E9" s="12">
        <v>1</v>
      </c>
      <c r="F9" s="12"/>
      <c r="G9" s="15">
        <v>0.5</v>
      </c>
      <c r="H9" s="12"/>
      <c r="I9" s="12"/>
      <c r="J9" s="12"/>
      <c r="K9" s="12">
        <v>0.5</v>
      </c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4"/>
    </row>
    <row r="10" ht="12.75" customHeight="1" spans="1:28" x14ac:dyDescent="0.25">
      <c r="A10" s="18" t="s">
        <v>43</v>
      </c>
      <c r="B10" s="17" t="s">
        <v>44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9"/>
    </row>
    <row r="11" spans="1:28" x14ac:dyDescent="0.25">
      <c r="A11" s="16" t="s">
        <v>45</v>
      </c>
      <c r="B11" s="17" t="s">
        <v>46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9"/>
    </row>
    <row r="12" ht="15.75" customHeight="1" spans="1:48" x14ac:dyDescent="0.25">
      <c r="A12" s="18" t="s">
        <v>47</v>
      </c>
      <c r="B12" s="17" t="s">
        <v>48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</row>
    <row r="13" ht="15.75" customHeight="1" spans="1:27" x14ac:dyDescent="0.25">
      <c r="A13" s="21"/>
      <c r="B13" s="17" t="s">
        <v>49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 spans="1:27" x14ac:dyDescent="0.25">
      <c r="A14" s="21"/>
      <c r="B14" s="17" t="s">
        <v>50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38.25" customHeight="1" spans="1:28" s="22" customFormat="1" x14ac:dyDescent="0.25">
      <c r="A15" s="23"/>
      <c r="C15" s="10" t="s">
        <v>7</v>
      </c>
      <c r="D15" s="10" t="s">
        <v>8</v>
      </c>
      <c r="E15" s="10" t="s">
        <v>9</v>
      </c>
      <c r="F15" s="10" t="s">
        <v>10</v>
      </c>
      <c r="G15" s="10" t="s">
        <v>11</v>
      </c>
      <c r="H15" s="10" t="s">
        <v>12</v>
      </c>
      <c r="I15" s="10" t="s">
        <v>13</v>
      </c>
      <c r="J15" s="10" t="s">
        <v>14</v>
      </c>
      <c r="K15" s="10" t="s">
        <v>15</v>
      </c>
      <c r="L15" s="10" t="s">
        <v>16</v>
      </c>
      <c r="M15" s="10" t="s">
        <v>17</v>
      </c>
      <c r="N15" s="10" t="s">
        <v>18</v>
      </c>
      <c r="O15" s="10" t="s">
        <v>19</v>
      </c>
      <c r="P15" s="10" t="s">
        <v>20</v>
      </c>
      <c r="Q15" s="10" t="s">
        <v>21</v>
      </c>
      <c r="R15" s="10" t="s">
        <v>22</v>
      </c>
      <c r="S15" s="10" t="s">
        <v>23</v>
      </c>
      <c r="T15" s="10" t="s">
        <v>24</v>
      </c>
      <c r="U15" s="10" t="s">
        <v>25</v>
      </c>
      <c r="V15" s="10" t="s">
        <v>26</v>
      </c>
      <c r="W15" s="10" t="s">
        <v>27</v>
      </c>
      <c r="X15" s="10" t="s">
        <v>28</v>
      </c>
      <c r="Y15" s="10" t="s">
        <v>29</v>
      </c>
      <c r="Z15" s="10" t="s">
        <v>30</v>
      </c>
      <c r="AA15" s="10" t="s">
        <v>31</v>
      </c>
      <c r="AB15" s="24" t="s">
        <v>51</v>
      </c>
    </row>
    <row r="16" ht="15.75" customHeight="1" spans="2:28" x14ac:dyDescent="0.25">
      <c r="B16" s="25" t="s">
        <v>52</v>
      </c>
      <c r="C16" s="26">
        <v>5</v>
      </c>
      <c r="D16" s="26">
        <v>5</v>
      </c>
      <c r="E16" s="26">
        <v>5</v>
      </c>
      <c r="F16" s="26">
        <v>5</v>
      </c>
      <c r="G16" s="26">
        <v>10</v>
      </c>
      <c r="H16" s="26">
        <v>10</v>
      </c>
      <c r="I16" s="27">
        <v>10</v>
      </c>
      <c r="J16" s="27">
        <v>10</v>
      </c>
      <c r="K16" s="27">
        <v>20</v>
      </c>
      <c r="L16" s="27">
        <v>20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9">
        <f>AVERAGE(AB18:AB104)</f>
        <v>60.93478260869565</v>
      </c>
    </row>
    <row r="17" spans="1:29" x14ac:dyDescent="0.25">
      <c r="A17" s="30" t="s">
        <v>53</v>
      </c>
      <c r="B17" s="30" t="s">
        <v>54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2" t="s">
        <v>55</v>
      </c>
      <c r="AC17" t="s">
        <v>56</v>
      </c>
    </row>
    <row r="18" ht="15.75" customHeight="1" spans="1:29" x14ac:dyDescent="0.25">
      <c r="A18" s="33" t="s">
        <v>57</v>
      </c>
      <c r="B18" s="34" t="s">
        <v>58</v>
      </c>
      <c r="C18" s="26">
        <v>1</v>
      </c>
      <c r="D18" s="26">
        <v>2</v>
      </c>
      <c r="E18" s="26">
        <v>2</v>
      </c>
      <c r="F18" s="26">
        <v>2</v>
      </c>
      <c r="G18" s="26">
        <v>2</v>
      </c>
      <c r="H18" s="26">
        <v>2</v>
      </c>
      <c r="I18" s="26">
        <v>2</v>
      </c>
      <c r="J18" s="26">
        <v>2</v>
      </c>
      <c r="K18" s="26">
        <v>2</v>
      </c>
      <c r="L18" s="26">
        <v>2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>
        <f>IF(SUM(C18:AA18)=0,"",SUM(C18:AA18))</f>
        <v>19</v>
      </c>
      <c r="AC18" t="s">
        <v>59</v>
      </c>
    </row>
    <row r="19" spans="1:28" x14ac:dyDescent="0.25">
      <c r="A19" s="37" t="s">
        <v>60</v>
      </c>
      <c r="B19" s="38" t="s">
        <v>61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6">
        <f t="shared" ref="AB19:AB82" si="2">IF(SUM(C19:AA19)=0,"",SUM(C19:AA19))</f>
      </c>
    </row>
    <row r="20" ht="15.75" customHeight="1" spans="1:29" x14ac:dyDescent="0.25">
      <c r="A20" s="40" t="s">
        <v>62</v>
      </c>
      <c r="B20" s="38" t="s">
        <v>63</v>
      </c>
      <c r="C20" s="26">
        <v>5</v>
      </c>
      <c r="D20" s="26">
        <v>2</v>
      </c>
      <c r="E20" s="26">
        <v>5</v>
      </c>
      <c r="F20" s="26">
        <v>5</v>
      </c>
      <c r="G20" s="26">
        <v>8</v>
      </c>
      <c r="H20" s="39">
        <v>3</v>
      </c>
      <c r="I20" s="39">
        <v>10</v>
      </c>
      <c r="J20" s="39">
        <v>8</v>
      </c>
      <c r="K20" s="39">
        <v>10</v>
      </c>
      <c r="L20" s="39">
        <v>5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6">
        <f t="shared" si="2"/>
        <v>61</v>
      </c>
      <c r="AC20" t="s">
        <v>64</v>
      </c>
    </row>
    <row r="21" ht="15.75" customHeight="1" spans="1:29" x14ac:dyDescent="0.25">
      <c r="A21" s="40" t="s">
        <v>65</v>
      </c>
      <c r="B21" s="38" t="s">
        <v>66</v>
      </c>
      <c r="C21" s="26">
        <v>5</v>
      </c>
      <c r="D21" s="26">
        <v>3</v>
      </c>
      <c r="E21" s="26">
        <v>4</v>
      </c>
      <c r="F21" s="26">
        <v>5</v>
      </c>
      <c r="G21" s="26">
        <v>7</v>
      </c>
      <c r="H21" s="39">
        <v>3</v>
      </c>
      <c r="I21" s="39">
        <v>10</v>
      </c>
      <c r="J21" s="39">
        <v>8</v>
      </c>
      <c r="K21" s="39">
        <v>10</v>
      </c>
      <c r="L21" s="39">
        <v>5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6">
        <f t="shared" si="2"/>
        <v>60</v>
      </c>
      <c r="AC21" t="s">
        <v>64</v>
      </c>
    </row>
    <row r="22" ht="15.75" customHeight="1" spans="1:29" x14ac:dyDescent="0.25">
      <c r="A22" s="40" t="s">
        <v>67</v>
      </c>
      <c r="B22" s="38" t="s">
        <v>68</v>
      </c>
      <c r="C22" s="26">
        <v>1</v>
      </c>
      <c r="D22" s="26">
        <v>2</v>
      </c>
      <c r="E22" s="26">
        <v>2</v>
      </c>
      <c r="F22" s="26">
        <v>2</v>
      </c>
      <c r="G22" s="26">
        <v>2</v>
      </c>
      <c r="H22" s="26">
        <v>2</v>
      </c>
      <c r="I22" s="26">
        <v>2</v>
      </c>
      <c r="J22" s="26">
        <v>2</v>
      </c>
      <c r="K22" s="26">
        <v>2</v>
      </c>
      <c r="L22" s="26">
        <v>2</v>
      </c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6">
        <f t="shared" si="2"/>
        <v>19</v>
      </c>
      <c r="AC22" t="s">
        <v>59</v>
      </c>
    </row>
    <row r="23" ht="15.75" customHeight="1" spans="1:29" x14ac:dyDescent="0.25">
      <c r="A23" s="37" t="s">
        <v>69</v>
      </c>
      <c r="B23" s="38" t="s">
        <v>70</v>
      </c>
      <c r="C23" s="26">
        <v>1</v>
      </c>
      <c r="D23" s="26">
        <v>2</v>
      </c>
      <c r="E23" s="26">
        <v>2</v>
      </c>
      <c r="F23" s="26">
        <v>2</v>
      </c>
      <c r="G23" s="26">
        <v>2</v>
      </c>
      <c r="H23" s="26">
        <v>2</v>
      </c>
      <c r="I23" s="26">
        <v>2</v>
      </c>
      <c r="J23" s="26">
        <v>2</v>
      </c>
      <c r="K23" s="26">
        <v>2</v>
      </c>
      <c r="L23" s="26">
        <v>2</v>
      </c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6">
        <f t="shared" si="2"/>
        <v>19</v>
      </c>
      <c r="AC23" t="s">
        <v>59</v>
      </c>
    </row>
    <row r="24" ht="15.75" customHeight="1" spans="1:29" x14ac:dyDescent="0.25">
      <c r="A24" s="37" t="s">
        <v>71</v>
      </c>
      <c r="B24" s="38" t="s">
        <v>72</v>
      </c>
      <c r="C24" s="26">
        <v>1</v>
      </c>
      <c r="D24" s="26">
        <v>2</v>
      </c>
      <c r="E24" s="26">
        <v>2</v>
      </c>
      <c r="F24" s="26">
        <v>2</v>
      </c>
      <c r="G24" s="26">
        <v>2</v>
      </c>
      <c r="H24" s="26">
        <v>2</v>
      </c>
      <c r="I24" s="26">
        <v>2</v>
      </c>
      <c r="J24" s="26">
        <v>2</v>
      </c>
      <c r="K24" s="26">
        <v>2</v>
      </c>
      <c r="L24" s="26">
        <v>2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6">
        <f t="shared" si="2"/>
        <v>19</v>
      </c>
      <c r="AC24" t="s">
        <v>59</v>
      </c>
    </row>
    <row r="25" ht="15.75" customHeight="1" spans="1:29" x14ac:dyDescent="0.25">
      <c r="A25" s="37" t="s">
        <v>73</v>
      </c>
      <c r="B25" s="38" t="s">
        <v>74</v>
      </c>
      <c r="C25" s="26">
        <v>5</v>
      </c>
      <c r="D25" s="26">
        <v>3</v>
      </c>
      <c r="E25" s="26">
        <v>4</v>
      </c>
      <c r="F25" s="26">
        <v>5</v>
      </c>
      <c r="G25" s="26">
        <v>7</v>
      </c>
      <c r="H25" s="39">
        <v>3</v>
      </c>
      <c r="I25" s="39">
        <v>10</v>
      </c>
      <c r="J25" s="39">
        <v>8</v>
      </c>
      <c r="K25" s="39">
        <v>10</v>
      </c>
      <c r="L25" s="39">
        <v>5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6">
        <f t="shared" si="2"/>
        <v>60</v>
      </c>
      <c r="AC25" t="s">
        <v>64</v>
      </c>
    </row>
    <row r="26" ht="15.75" customHeight="1" spans="1:29" x14ac:dyDescent="0.25">
      <c r="A26" s="37" t="s">
        <v>75</v>
      </c>
      <c r="B26" s="38" t="s">
        <v>76</v>
      </c>
      <c r="C26" s="26">
        <v>5</v>
      </c>
      <c r="D26" s="26">
        <v>3</v>
      </c>
      <c r="E26" s="26">
        <v>4</v>
      </c>
      <c r="F26" s="26">
        <v>5</v>
      </c>
      <c r="G26" s="26">
        <v>7</v>
      </c>
      <c r="H26" s="39">
        <v>3</v>
      </c>
      <c r="I26" s="39">
        <v>10</v>
      </c>
      <c r="J26" s="39">
        <v>8</v>
      </c>
      <c r="K26" s="39">
        <v>10</v>
      </c>
      <c r="L26" s="39">
        <v>5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6">
        <f t="shared" si="2"/>
        <v>60</v>
      </c>
      <c r="AC26" t="s">
        <v>64</v>
      </c>
    </row>
    <row r="27" ht="15.75" customHeight="1" spans="1:29" x14ac:dyDescent="0.25">
      <c r="A27" s="40" t="s">
        <v>77</v>
      </c>
      <c r="B27" s="38" t="s">
        <v>78</v>
      </c>
      <c r="C27" s="26">
        <v>5</v>
      </c>
      <c r="D27" s="26">
        <v>3</v>
      </c>
      <c r="E27" s="26">
        <v>4</v>
      </c>
      <c r="F27" s="26">
        <v>5</v>
      </c>
      <c r="G27" s="26">
        <v>7</v>
      </c>
      <c r="H27" s="39">
        <v>3</v>
      </c>
      <c r="I27" s="39">
        <v>10</v>
      </c>
      <c r="J27" s="39">
        <v>8</v>
      </c>
      <c r="K27" s="39">
        <v>10</v>
      </c>
      <c r="L27" s="39">
        <v>5</v>
      </c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6">
        <f t="shared" si="2"/>
        <v>60</v>
      </c>
      <c r="AC27" t="s">
        <v>64</v>
      </c>
    </row>
    <row r="28" ht="15.75" customHeight="1" spans="1:29" x14ac:dyDescent="0.25">
      <c r="A28" s="37" t="s">
        <v>79</v>
      </c>
      <c r="B28" s="38" t="s">
        <v>80</v>
      </c>
      <c r="C28" s="26">
        <v>5</v>
      </c>
      <c r="D28" s="26">
        <v>3</v>
      </c>
      <c r="E28" s="26">
        <v>4</v>
      </c>
      <c r="F28" s="26">
        <v>5</v>
      </c>
      <c r="G28" s="26">
        <v>7</v>
      </c>
      <c r="H28" s="39">
        <v>3</v>
      </c>
      <c r="I28" s="39">
        <v>10</v>
      </c>
      <c r="J28" s="39">
        <v>8</v>
      </c>
      <c r="K28" s="39">
        <v>10</v>
      </c>
      <c r="L28" s="39">
        <v>5</v>
      </c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6">
        <f t="shared" si="2"/>
        <v>60</v>
      </c>
      <c r="AC28" t="s">
        <v>64</v>
      </c>
    </row>
    <row r="29" ht="15.75" customHeight="1" spans="1:29" x14ac:dyDescent="0.25">
      <c r="A29" s="40" t="s">
        <v>81</v>
      </c>
      <c r="B29" s="38" t="s">
        <v>82</v>
      </c>
      <c r="C29" s="26">
        <v>5</v>
      </c>
      <c r="D29" s="26">
        <v>3</v>
      </c>
      <c r="E29" s="26">
        <v>4</v>
      </c>
      <c r="F29" s="26">
        <v>5</v>
      </c>
      <c r="G29" s="26">
        <v>7</v>
      </c>
      <c r="H29" s="39">
        <v>3</v>
      </c>
      <c r="I29" s="39">
        <v>10</v>
      </c>
      <c r="J29" s="39">
        <v>8</v>
      </c>
      <c r="K29" s="39">
        <v>10</v>
      </c>
      <c r="L29" s="39">
        <v>5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6">
        <f t="shared" si="2"/>
        <v>60</v>
      </c>
      <c r="AC29" t="s">
        <v>64</v>
      </c>
    </row>
    <row r="30" ht="15.75" customHeight="1" spans="1:29" x14ac:dyDescent="0.25">
      <c r="A30" s="37" t="s">
        <v>83</v>
      </c>
      <c r="B30" s="38" t="s">
        <v>84</v>
      </c>
      <c r="C30" s="26">
        <v>5</v>
      </c>
      <c r="D30" s="26">
        <v>3</v>
      </c>
      <c r="E30" s="26">
        <v>4</v>
      </c>
      <c r="F30" s="26">
        <v>5</v>
      </c>
      <c r="G30" s="26">
        <v>7</v>
      </c>
      <c r="H30" s="39">
        <v>3</v>
      </c>
      <c r="I30" s="39">
        <v>10</v>
      </c>
      <c r="J30" s="39">
        <v>8</v>
      </c>
      <c r="K30" s="39">
        <v>10</v>
      </c>
      <c r="L30" s="39">
        <v>5</v>
      </c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6">
        <f t="shared" si="2"/>
        <v>60</v>
      </c>
      <c r="AC30" t="s">
        <v>64</v>
      </c>
    </row>
    <row r="31" ht="15.75" customHeight="1" spans="1:29" x14ac:dyDescent="0.25">
      <c r="A31" s="40" t="s">
        <v>85</v>
      </c>
      <c r="B31" s="38" t="s">
        <v>86</v>
      </c>
      <c r="C31" s="26">
        <v>5</v>
      </c>
      <c r="D31" s="26">
        <v>3</v>
      </c>
      <c r="E31" s="26">
        <v>4</v>
      </c>
      <c r="F31" s="26">
        <v>5</v>
      </c>
      <c r="G31" s="26">
        <v>7</v>
      </c>
      <c r="H31" s="39">
        <v>3</v>
      </c>
      <c r="I31" s="39">
        <v>10</v>
      </c>
      <c r="J31" s="39">
        <v>8</v>
      </c>
      <c r="K31" s="39">
        <v>10</v>
      </c>
      <c r="L31" s="39">
        <v>5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6">
        <f t="shared" si="2"/>
        <v>60</v>
      </c>
      <c r="AC31" t="s">
        <v>64</v>
      </c>
    </row>
    <row r="32" ht="15.75" customHeight="1" spans="1:29" x14ac:dyDescent="0.25">
      <c r="A32" s="37" t="s">
        <v>87</v>
      </c>
      <c r="B32" s="38" t="s">
        <v>88</v>
      </c>
      <c r="C32" s="26">
        <v>5</v>
      </c>
      <c r="D32" s="26">
        <v>3</v>
      </c>
      <c r="E32" s="26">
        <v>4</v>
      </c>
      <c r="F32" s="26">
        <v>5</v>
      </c>
      <c r="G32" s="26">
        <v>7</v>
      </c>
      <c r="H32" s="39">
        <v>3</v>
      </c>
      <c r="I32" s="39">
        <v>10</v>
      </c>
      <c r="J32" s="39">
        <v>8</v>
      </c>
      <c r="K32" s="39">
        <v>10</v>
      </c>
      <c r="L32" s="39">
        <v>5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6">
        <f t="shared" si="2"/>
        <v>60</v>
      </c>
      <c r="AC32" t="s">
        <v>64</v>
      </c>
    </row>
    <row r="33" ht="15.75" customHeight="1" spans="1:29" x14ac:dyDescent="0.25">
      <c r="A33" s="40" t="s">
        <v>89</v>
      </c>
      <c r="B33" s="38" t="s">
        <v>90</v>
      </c>
      <c r="C33" s="26">
        <v>1</v>
      </c>
      <c r="D33" s="26">
        <v>2</v>
      </c>
      <c r="E33" s="26">
        <v>2</v>
      </c>
      <c r="F33" s="26">
        <v>2</v>
      </c>
      <c r="G33" s="26">
        <v>2</v>
      </c>
      <c r="H33" s="26">
        <v>2</v>
      </c>
      <c r="I33" s="26">
        <v>2</v>
      </c>
      <c r="J33" s="26">
        <v>2</v>
      </c>
      <c r="K33" s="26">
        <v>2</v>
      </c>
      <c r="L33" s="26">
        <v>15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6">
        <f t="shared" si="2"/>
        <v>32</v>
      </c>
      <c r="AC33" t="s">
        <v>59</v>
      </c>
    </row>
    <row r="34" ht="15.75" customHeight="1" spans="1:29" x14ac:dyDescent="0.25">
      <c r="A34" s="40" t="s">
        <v>91</v>
      </c>
      <c r="B34" s="38" t="s">
        <v>92</v>
      </c>
      <c r="C34" s="26">
        <v>1</v>
      </c>
      <c r="D34" s="26">
        <v>2</v>
      </c>
      <c r="E34" s="26">
        <v>2</v>
      </c>
      <c r="F34" s="26">
        <v>2</v>
      </c>
      <c r="G34" s="26">
        <v>2</v>
      </c>
      <c r="H34" s="26">
        <v>2</v>
      </c>
      <c r="I34" s="26">
        <v>2</v>
      </c>
      <c r="J34" s="26">
        <v>2</v>
      </c>
      <c r="K34" s="26">
        <v>2</v>
      </c>
      <c r="L34" s="26">
        <v>15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6">
        <f t="shared" si="2"/>
        <v>32</v>
      </c>
      <c r="AC34" t="s">
        <v>59</v>
      </c>
    </row>
    <row r="35" ht="15.75" customHeight="1" spans="1:29" x14ac:dyDescent="0.25">
      <c r="A35" s="37" t="s">
        <v>93</v>
      </c>
      <c r="B35" s="38" t="s">
        <v>94</v>
      </c>
      <c r="C35" s="26">
        <v>1</v>
      </c>
      <c r="D35" s="26">
        <v>2</v>
      </c>
      <c r="E35" s="26">
        <v>2</v>
      </c>
      <c r="F35" s="26">
        <v>2</v>
      </c>
      <c r="G35" s="26">
        <v>2</v>
      </c>
      <c r="H35" s="26">
        <v>2</v>
      </c>
      <c r="I35" s="26">
        <v>2</v>
      </c>
      <c r="J35" s="26">
        <v>2</v>
      </c>
      <c r="K35" s="26">
        <v>2</v>
      </c>
      <c r="L35" s="26">
        <v>15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6">
        <f t="shared" si="2"/>
        <v>32</v>
      </c>
      <c r="AC35" t="s">
        <v>59</v>
      </c>
    </row>
    <row r="36" ht="15.75" customHeight="1" spans="1:29" x14ac:dyDescent="0.25">
      <c r="A36" s="40" t="s">
        <v>95</v>
      </c>
      <c r="B36" s="38" t="s">
        <v>96</v>
      </c>
      <c r="C36" s="26">
        <v>5</v>
      </c>
      <c r="D36" s="26">
        <v>3</v>
      </c>
      <c r="E36" s="26">
        <v>4</v>
      </c>
      <c r="F36" s="26">
        <v>5</v>
      </c>
      <c r="G36" s="26">
        <v>7</v>
      </c>
      <c r="H36" s="39">
        <v>3</v>
      </c>
      <c r="I36" s="39">
        <v>10</v>
      </c>
      <c r="J36" s="39">
        <v>8</v>
      </c>
      <c r="K36" s="39">
        <v>10</v>
      </c>
      <c r="L36" s="26">
        <v>15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6">
        <f t="shared" si="2"/>
        <v>70</v>
      </c>
      <c r="AC36" t="s">
        <v>97</v>
      </c>
    </row>
    <row r="37" ht="15.75" customHeight="1" spans="1:29" x14ac:dyDescent="0.25">
      <c r="A37" s="37" t="s">
        <v>98</v>
      </c>
      <c r="B37" s="38" t="s">
        <v>99</v>
      </c>
      <c r="C37" s="26">
        <v>5</v>
      </c>
      <c r="D37" s="26">
        <v>3</v>
      </c>
      <c r="E37" s="26">
        <v>4</v>
      </c>
      <c r="F37" s="26">
        <v>5</v>
      </c>
      <c r="G37" s="26">
        <v>7</v>
      </c>
      <c r="H37" s="39">
        <v>3</v>
      </c>
      <c r="I37" s="39">
        <v>10</v>
      </c>
      <c r="J37" s="39">
        <v>8</v>
      </c>
      <c r="K37" s="39">
        <v>10</v>
      </c>
      <c r="L37" s="26">
        <v>15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6">
        <f t="shared" si="2"/>
        <v>70</v>
      </c>
      <c r="AC37" t="s">
        <v>97</v>
      </c>
    </row>
    <row r="38" ht="15.75" customHeight="1" spans="1:29" x14ac:dyDescent="0.25">
      <c r="A38" s="40" t="s">
        <v>100</v>
      </c>
      <c r="B38" s="38" t="s">
        <v>101</v>
      </c>
      <c r="C38" s="26">
        <v>5</v>
      </c>
      <c r="D38" s="26">
        <v>3</v>
      </c>
      <c r="E38" s="26">
        <v>4</v>
      </c>
      <c r="F38" s="26">
        <v>5</v>
      </c>
      <c r="G38" s="26">
        <v>7</v>
      </c>
      <c r="H38" s="39">
        <v>3</v>
      </c>
      <c r="I38" s="39">
        <v>10</v>
      </c>
      <c r="J38" s="39">
        <v>8</v>
      </c>
      <c r="K38" s="39">
        <v>10</v>
      </c>
      <c r="L38" s="26">
        <v>15</v>
      </c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6">
        <f t="shared" si="2"/>
        <v>70</v>
      </c>
      <c r="AC38" t="s">
        <v>97</v>
      </c>
    </row>
    <row r="39" ht="15.75" customHeight="1" spans="1:29" x14ac:dyDescent="0.25">
      <c r="A39" s="37" t="s">
        <v>102</v>
      </c>
      <c r="B39" s="38" t="s">
        <v>103</v>
      </c>
      <c r="C39" s="26">
        <v>5</v>
      </c>
      <c r="D39" s="26">
        <v>3</v>
      </c>
      <c r="E39" s="26">
        <v>4</v>
      </c>
      <c r="F39" s="26">
        <v>5</v>
      </c>
      <c r="G39" s="26">
        <v>7</v>
      </c>
      <c r="H39" s="39">
        <v>3</v>
      </c>
      <c r="I39" s="39">
        <v>10</v>
      </c>
      <c r="J39" s="39">
        <v>8</v>
      </c>
      <c r="K39" s="39">
        <v>10</v>
      </c>
      <c r="L39" s="26">
        <v>15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6">
        <f t="shared" si="2"/>
        <v>70</v>
      </c>
      <c r="AC39" t="s">
        <v>97</v>
      </c>
    </row>
    <row r="40" ht="15.75" customHeight="1" spans="1:29" x14ac:dyDescent="0.25">
      <c r="A40" s="40" t="s">
        <v>104</v>
      </c>
      <c r="B40" s="38" t="s">
        <v>105</v>
      </c>
      <c r="C40" s="26">
        <v>5</v>
      </c>
      <c r="D40" s="26">
        <v>3</v>
      </c>
      <c r="E40" s="26">
        <v>4</v>
      </c>
      <c r="F40" s="26">
        <v>5</v>
      </c>
      <c r="G40" s="26">
        <v>7</v>
      </c>
      <c r="H40" s="39">
        <v>3</v>
      </c>
      <c r="I40" s="39">
        <v>10</v>
      </c>
      <c r="J40" s="39">
        <v>8</v>
      </c>
      <c r="K40" s="39">
        <v>10</v>
      </c>
      <c r="L40" s="26">
        <v>15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6">
        <f t="shared" si="2"/>
        <v>70</v>
      </c>
      <c r="AC40" t="s">
        <v>97</v>
      </c>
    </row>
    <row r="41" ht="15.75" customHeight="1" spans="1:29" x14ac:dyDescent="0.25">
      <c r="A41" s="37" t="s">
        <v>106</v>
      </c>
      <c r="B41" s="38" t="s">
        <v>107</v>
      </c>
      <c r="C41" s="26">
        <v>5</v>
      </c>
      <c r="D41" s="26">
        <v>3</v>
      </c>
      <c r="E41" s="26">
        <v>4</v>
      </c>
      <c r="F41" s="26">
        <v>5</v>
      </c>
      <c r="G41" s="26">
        <v>7</v>
      </c>
      <c r="H41" s="39">
        <v>3</v>
      </c>
      <c r="I41" s="39">
        <v>10</v>
      </c>
      <c r="J41" s="39">
        <v>8</v>
      </c>
      <c r="K41" s="39">
        <v>10</v>
      </c>
      <c r="L41" s="26">
        <v>15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6">
        <f t="shared" si="2"/>
        <v>70</v>
      </c>
      <c r="AC41" t="s">
        <v>97</v>
      </c>
    </row>
    <row r="42" ht="15.75" customHeight="1" spans="1:29" x14ac:dyDescent="0.25">
      <c r="A42" s="40" t="s">
        <v>108</v>
      </c>
      <c r="B42" s="38" t="s">
        <v>109</v>
      </c>
      <c r="C42" s="26">
        <v>5</v>
      </c>
      <c r="D42" s="26">
        <v>3</v>
      </c>
      <c r="E42" s="26">
        <v>4</v>
      </c>
      <c r="F42" s="26">
        <v>5</v>
      </c>
      <c r="G42" s="26">
        <v>7</v>
      </c>
      <c r="H42" s="39">
        <v>3</v>
      </c>
      <c r="I42" s="39">
        <v>10</v>
      </c>
      <c r="J42" s="39">
        <v>8</v>
      </c>
      <c r="K42" s="39">
        <v>10</v>
      </c>
      <c r="L42" s="26">
        <v>15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6">
        <f t="shared" si="2"/>
        <v>70</v>
      </c>
      <c r="AC42" t="s">
        <v>97</v>
      </c>
    </row>
    <row r="43" ht="15.75" customHeight="1" spans="1:29" x14ac:dyDescent="0.25">
      <c r="A43" s="40" t="s">
        <v>110</v>
      </c>
      <c r="B43" s="38" t="s">
        <v>111</v>
      </c>
      <c r="C43" s="26">
        <v>5</v>
      </c>
      <c r="D43" s="26">
        <v>3</v>
      </c>
      <c r="E43" s="26">
        <v>4</v>
      </c>
      <c r="F43" s="26">
        <v>5</v>
      </c>
      <c r="G43" s="26">
        <v>7</v>
      </c>
      <c r="H43" s="39">
        <v>3</v>
      </c>
      <c r="I43" s="39">
        <v>10</v>
      </c>
      <c r="J43" s="39">
        <v>8</v>
      </c>
      <c r="K43" s="39">
        <v>10</v>
      </c>
      <c r="L43" s="26">
        <v>15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6">
        <f t="shared" si="2"/>
        <v>70</v>
      </c>
      <c r="AC43" t="s">
        <v>97</v>
      </c>
    </row>
    <row r="44" ht="15.75" customHeight="1" spans="1:29" x14ac:dyDescent="0.25">
      <c r="A44" s="37" t="s">
        <v>112</v>
      </c>
      <c r="B44" s="38" t="s">
        <v>113</v>
      </c>
      <c r="C44" s="26">
        <v>5</v>
      </c>
      <c r="D44" s="26">
        <v>3</v>
      </c>
      <c r="E44" s="26">
        <v>4</v>
      </c>
      <c r="F44" s="26">
        <v>5</v>
      </c>
      <c r="G44" s="26">
        <v>7</v>
      </c>
      <c r="H44" s="39">
        <v>3</v>
      </c>
      <c r="I44" s="39">
        <v>10</v>
      </c>
      <c r="J44" s="39">
        <v>8</v>
      </c>
      <c r="K44" s="39">
        <v>10</v>
      </c>
      <c r="L44" s="26">
        <v>15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6">
        <f t="shared" si="2"/>
        <v>70</v>
      </c>
      <c r="AC44" t="s">
        <v>97</v>
      </c>
    </row>
    <row r="45" ht="15.75" customHeight="1" spans="1:29" x14ac:dyDescent="0.25">
      <c r="A45" s="37" t="s">
        <v>114</v>
      </c>
      <c r="B45" s="38" t="s">
        <v>115</v>
      </c>
      <c r="C45" s="26">
        <v>5</v>
      </c>
      <c r="D45" s="26">
        <v>3</v>
      </c>
      <c r="E45" s="26">
        <v>4</v>
      </c>
      <c r="F45" s="26">
        <v>5</v>
      </c>
      <c r="G45" s="26">
        <v>7</v>
      </c>
      <c r="H45" s="39">
        <v>3</v>
      </c>
      <c r="I45" s="39">
        <v>10</v>
      </c>
      <c r="J45" s="39">
        <v>8</v>
      </c>
      <c r="K45" s="39">
        <v>10</v>
      </c>
      <c r="L45" s="26">
        <v>15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6">
        <f t="shared" si="2"/>
        <v>70</v>
      </c>
      <c r="AC45" t="s">
        <v>97</v>
      </c>
    </row>
    <row r="46" ht="15.75" customHeight="1" spans="1:29" x14ac:dyDescent="0.25">
      <c r="A46" s="40" t="s">
        <v>116</v>
      </c>
      <c r="B46" s="38" t="s">
        <v>117</v>
      </c>
      <c r="C46" s="26">
        <v>5</v>
      </c>
      <c r="D46" s="26">
        <v>3</v>
      </c>
      <c r="E46" s="26">
        <v>4</v>
      </c>
      <c r="F46" s="26">
        <v>5</v>
      </c>
      <c r="G46" s="26">
        <v>7</v>
      </c>
      <c r="H46" s="39">
        <v>3</v>
      </c>
      <c r="I46" s="39">
        <v>10</v>
      </c>
      <c r="J46" s="39">
        <v>8</v>
      </c>
      <c r="K46" s="39">
        <v>10</v>
      </c>
      <c r="L46" s="26">
        <v>15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6">
        <f t="shared" si="2"/>
        <v>70</v>
      </c>
      <c r="AC46" t="s">
        <v>97</v>
      </c>
    </row>
    <row r="47" ht="15.75" customHeight="1" spans="1:29" x14ac:dyDescent="0.25">
      <c r="A47" s="40" t="s">
        <v>118</v>
      </c>
      <c r="B47" s="38" t="s">
        <v>119</v>
      </c>
      <c r="C47" s="26">
        <v>5</v>
      </c>
      <c r="D47" s="26">
        <v>3</v>
      </c>
      <c r="E47" s="26">
        <v>4</v>
      </c>
      <c r="F47" s="26">
        <v>5</v>
      </c>
      <c r="G47" s="26">
        <v>7</v>
      </c>
      <c r="H47" s="39">
        <v>3</v>
      </c>
      <c r="I47" s="39">
        <v>10</v>
      </c>
      <c r="J47" s="39">
        <v>8</v>
      </c>
      <c r="K47" s="39">
        <v>10</v>
      </c>
      <c r="L47" s="26">
        <v>15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6">
        <f t="shared" si="2"/>
        <v>70</v>
      </c>
      <c r="AC47" t="s">
        <v>97</v>
      </c>
    </row>
    <row r="48" ht="15.75" customHeight="1" spans="1:29" x14ac:dyDescent="0.25">
      <c r="A48" s="40" t="s">
        <v>120</v>
      </c>
      <c r="B48" s="38" t="s">
        <v>121</v>
      </c>
      <c r="C48" s="26">
        <v>5</v>
      </c>
      <c r="D48" s="26">
        <v>3</v>
      </c>
      <c r="E48" s="26">
        <v>4</v>
      </c>
      <c r="F48" s="26">
        <v>5</v>
      </c>
      <c r="G48" s="26">
        <v>7</v>
      </c>
      <c r="H48" s="39">
        <v>3</v>
      </c>
      <c r="I48" s="39">
        <v>10</v>
      </c>
      <c r="J48" s="39">
        <v>8</v>
      </c>
      <c r="K48" s="39">
        <v>10</v>
      </c>
      <c r="L48" s="26">
        <v>15</v>
      </c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6">
        <f t="shared" si="2"/>
        <v>70</v>
      </c>
      <c r="AC48" t="s">
        <v>97</v>
      </c>
    </row>
    <row r="49" ht="15.75" customHeight="1" spans="1:29" x14ac:dyDescent="0.25">
      <c r="A49" s="37" t="s">
        <v>122</v>
      </c>
      <c r="B49" s="38" t="s">
        <v>123</v>
      </c>
      <c r="C49" s="26">
        <v>5</v>
      </c>
      <c r="D49" s="26">
        <v>3</v>
      </c>
      <c r="E49" s="26">
        <v>4</v>
      </c>
      <c r="F49" s="26">
        <v>5</v>
      </c>
      <c r="G49" s="26">
        <v>7</v>
      </c>
      <c r="H49" s="39">
        <v>3</v>
      </c>
      <c r="I49" s="39">
        <v>10</v>
      </c>
      <c r="J49" s="39">
        <v>8</v>
      </c>
      <c r="K49" s="39">
        <v>10</v>
      </c>
      <c r="L49" s="26">
        <v>15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6">
        <f t="shared" si="2"/>
        <v>70</v>
      </c>
      <c r="AC49" t="s">
        <v>97</v>
      </c>
    </row>
    <row r="50" ht="15.75" customHeight="1" spans="1:29" x14ac:dyDescent="0.25">
      <c r="A50" s="40" t="s">
        <v>124</v>
      </c>
      <c r="B50" s="38" t="s">
        <v>125</v>
      </c>
      <c r="C50" s="26">
        <v>5</v>
      </c>
      <c r="D50" s="26">
        <v>3</v>
      </c>
      <c r="E50" s="26">
        <v>4</v>
      </c>
      <c r="F50" s="26">
        <v>5</v>
      </c>
      <c r="G50" s="26">
        <v>7</v>
      </c>
      <c r="H50" s="39">
        <v>3</v>
      </c>
      <c r="I50" s="39">
        <v>10</v>
      </c>
      <c r="J50" s="39">
        <v>8</v>
      </c>
      <c r="K50" s="39">
        <v>10</v>
      </c>
      <c r="L50" s="26">
        <v>15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6">
        <f t="shared" si="2"/>
        <v>70</v>
      </c>
      <c r="AC50" t="s">
        <v>97</v>
      </c>
    </row>
    <row r="51" ht="15.75" customHeight="1" spans="1:29" x14ac:dyDescent="0.25">
      <c r="A51" s="37" t="s">
        <v>126</v>
      </c>
      <c r="B51" s="38" t="s">
        <v>127</v>
      </c>
      <c r="C51" s="26">
        <v>5</v>
      </c>
      <c r="D51" s="26">
        <v>3</v>
      </c>
      <c r="E51" s="26">
        <v>4</v>
      </c>
      <c r="F51" s="26">
        <v>5</v>
      </c>
      <c r="G51" s="26">
        <v>7</v>
      </c>
      <c r="H51" s="39">
        <v>3</v>
      </c>
      <c r="I51" s="39">
        <v>10</v>
      </c>
      <c r="J51" s="39">
        <v>8</v>
      </c>
      <c r="K51" s="39">
        <v>10</v>
      </c>
      <c r="L51" s="26">
        <v>15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6">
        <f t="shared" si="2"/>
        <v>70</v>
      </c>
      <c r="AC51" t="s">
        <v>97</v>
      </c>
    </row>
    <row r="52" ht="15.75" customHeight="1" spans="1:29" x14ac:dyDescent="0.25">
      <c r="A52" s="40" t="s">
        <v>128</v>
      </c>
      <c r="B52" s="38" t="s">
        <v>129</v>
      </c>
      <c r="C52" s="26">
        <v>5</v>
      </c>
      <c r="D52" s="26">
        <v>3</v>
      </c>
      <c r="E52" s="26">
        <v>4</v>
      </c>
      <c r="F52" s="26">
        <v>5</v>
      </c>
      <c r="G52" s="26">
        <v>7</v>
      </c>
      <c r="H52" s="39">
        <v>3</v>
      </c>
      <c r="I52" s="39">
        <v>10</v>
      </c>
      <c r="J52" s="39">
        <v>8</v>
      </c>
      <c r="K52" s="39">
        <v>10</v>
      </c>
      <c r="L52" s="26">
        <v>15</v>
      </c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6">
        <f t="shared" si="2"/>
        <v>70</v>
      </c>
      <c r="AC52" t="s">
        <v>97</v>
      </c>
    </row>
    <row r="53" ht="15.75" customHeight="1" spans="1:29" x14ac:dyDescent="0.25">
      <c r="A53" s="37" t="s">
        <v>130</v>
      </c>
      <c r="B53" s="38" t="s">
        <v>131</v>
      </c>
      <c r="C53" s="26">
        <v>5</v>
      </c>
      <c r="D53" s="26">
        <v>3</v>
      </c>
      <c r="E53" s="26">
        <v>4</v>
      </c>
      <c r="F53" s="26">
        <v>5</v>
      </c>
      <c r="G53" s="26">
        <v>7</v>
      </c>
      <c r="H53" s="39">
        <v>3</v>
      </c>
      <c r="I53" s="39">
        <v>10</v>
      </c>
      <c r="J53" s="39">
        <v>8</v>
      </c>
      <c r="K53" s="39">
        <v>10</v>
      </c>
      <c r="L53" s="26">
        <v>15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6">
        <f t="shared" si="2"/>
        <v>70</v>
      </c>
      <c r="AC53" t="s">
        <v>97</v>
      </c>
    </row>
    <row r="54" ht="15.75" customHeight="1" spans="1:29" x14ac:dyDescent="0.25">
      <c r="A54" s="40" t="s">
        <v>132</v>
      </c>
      <c r="B54" s="38" t="s">
        <v>133</v>
      </c>
      <c r="C54" s="26">
        <v>5</v>
      </c>
      <c r="D54" s="26">
        <v>3</v>
      </c>
      <c r="E54" s="26">
        <v>4</v>
      </c>
      <c r="F54" s="26">
        <v>5</v>
      </c>
      <c r="G54" s="26">
        <v>7</v>
      </c>
      <c r="H54" s="39">
        <v>3</v>
      </c>
      <c r="I54" s="39">
        <v>10</v>
      </c>
      <c r="J54" s="39">
        <v>8</v>
      </c>
      <c r="K54" s="39">
        <v>10</v>
      </c>
      <c r="L54" s="26">
        <v>15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6">
        <f t="shared" si="2"/>
        <v>70</v>
      </c>
      <c r="AC54" t="s">
        <v>97</v>
      </c>
    </row>
    <row r="55" ht="15.75" customHeight="1" spans="1:29" x14ac:dyDescent="0.25">
      <c r="A55" s="37" t="s">
        <v>134</v>
      </c>
      <c r="B55" s="38" t="s">
        <v>135</v>
      </c>
      <c r="C55" s="26">
        <v>5</v>
      </c>
      <c r="D55" s="26">
        <v>3</v>
      </c>
      <c r="E55" s="26">
        <v>4</v>
      </c>
      <c r="F55" s="26">
        <v>5</v>
      </c>
      <c r="G55" s="26">
        <v>7</v>
      </c>
      <c r="H55" s="39">
        <v>3</v>
      </c>
      <c r="I55" s="39">
        <v>10</v>
      </c>
      <c r="J55" s="39">
        <v>8</v>
      </c>
      <c r="K55" s="39">
        <v>10</v>
      </c>
      <c r="L55" s="26">
        <v>15</v>
      </c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6">
        <f t="shared" si="2"/>
        <v>70</v>
      </c>
      <c r="AC55" t="s">
        <v>97</v>
      </c>
    </row>
    <row r="56" ht="15.75" customHeight="1" spans="1:29" x14ac:dyDescent="0.25">
      <c r="A56" s="40" t="s">
        <v>136</v>
      </c>
      <c r="B56" s="38" t="s">
        <v>137</v>
      </c>
      <c r="C56" s="26">
        <v>5</v>
      </c>
      <c r="D56" s="26">
        <v>3</v>
      </c>
      <c r="E56" s="26">
        <v>4</v>
      </c>
      <c r="F56" s="26">
        <v>5</v>
      </c>
      <c r="G56" s="26">
        <v>7</v>
      </c>
      <c r="H56" s="39">
        <v>3</v>
      </c>
      <c r="I56" s="39">
        <v>10</v>
      </c>
      <c r="J56" s="39">
        <v>8</v>
      </c>
      <c r="K56" s="39">
        <v>10</v>
      </c>
      <c r="L56" s="26">
        <v>15</v>
      </c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6">
        <f>IF(SUM(C56:AA56)=0,"",SUM(C56:AA56))</f>
        <v>70</v>
      </c>
      <c r="AC56" t="s">
        <v>97</v>
      </c>
    </row>
    <row r="57" ht="15.75" customHeight="1" spans="1:29" x14ac:dyDescent="0.25">
      <c r="A57" s="40" t="s">
        <v>138</v>
      </c>
      <c r="B57" s="38" t="s">
        <v>139</v>
      </c>
      <c r="C57" s="26">
        <v>5</v>
      </c>
      <c r="D57" s="26">
        <v>3</v>
      </c>
      <c r="E57" s="26">
        <v>4</v>
      </c>
      <c r="F57" s="26">
        <v>5</v>
      </c>
      <c r="G57" s="26">
        <v>7</v>
      </c>
      <c r="H57" s="39">
        <v>3</v>
      </c>
      <c r="I57" s="39">
        <v>10</v>
      </c>
      <c r="J57" s="39">
        <v>8</v>
      </c>
      <c r="K57" s="39">
        <v>10</v>
      </c>
      <c r="L57" s="26">
        <v>15</v>
      </c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6">
        <f t="shared" si="2"/>
        <v>70</v>
      </c>
      <c r="AC57" t="s">
        <v>97</v>
      </c>
    </row>
    <row r="58" ht="15.75" customHeight="1" spans="1:29" x14ac:dyDescent="0.25">
      <c r="A58" s="37" t="s">
        <v>140</v>
      </c>
      <c r="B58" s="38" t="s">
        <v>141</v>
      </c>
      <c r="C58" s="26">
        <v>5</v>
      </c>
      <c r="D58" s="26">
        <v>3</v>
      </c>
      <c r="E58" s="26">
        <v>4</v>
      </c>
      <c r="F58" s="26">
        <v>5</v>
      </c>
      <c r="G58" s="26">
        <v>7</v>
      </c>
      <c r="H58" s="39">
        <v>3</v>
      </c>
      <c r="I58" s="39">
        <v>10</v>
      </c>
      <c r="J58" s="39">
        <v>8</v>
      </c>
      <c r="K58" s="39">
        <v>10</v>
      </c>
      <c r="L58" s="26">
        <v>15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6">
        <f t="shared" si="2"/>
        <v>70</v>
      </c>
      <c r="AC58" t="s">
        <v>97</v>
      </c>
    </row>
    <row r="59" ht="15.75" customHeight="1" spans="1:29" x14ac:dyDescent="0.25">
      <c r="A59" s="40" t="s">
        <v>142</v>
      </c>
      <c r="B59" s="38" t="s">
        <v>143</v>
      </c>
      <c r="C59" s="26">
        <v>5</v>
      </c>
      <c r="D59" s="26">
        <v>3</v>
      </c>
      <c r="E59" s="26">
        <v>4</v>
      </c>
      <c r="F59" s="26">
        <v>5</v>
      </c>
      <c r="G59" s="26">
        <v>7</v>
      </c>
      <c r="H59" s="39">
        <v>3</v>
      </c>
      <c r="I59" s="39">
        <v>10</v>
      </c>
      <c r="J59" s="39">
        <v>8</v>
      </c>
      <c r="K59" s="39">
        <v>10</v>
      </c>
      <c r="L59" s="26">
        <v>15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6">
        <f t="shared" si="2"/>
        <v>70</v>
      </c>
      <c r="AC59" t="s">
        <v>97</v>
      </c>
    </row>
    <row r="60" ht="15.75" customHeight="1" spans="1:29" x14ac:dyDescent="0.25">
      <c r="A60" s="37" t="s">
        <v>144</v>
      </c>
      <c r="B60" s="38" t="s">
        <v>145</v>
      </c>
      <c r="C60" s="26">
        <v>5</v>
      </c>
      <c r="D60" s="26">
        <v>3</v>
      </c>
      <c r="E60" s="26">
        <v>4</v>
      </c>
      <c r="F60" s="26">
        <v>5</v>
      </c>
      <c r="G60" s="26">
        <v>7</v>
      </c>
      <c r="H60" s="39">
        <v>3</v>
      </c>
      <c r="I60" s="39">
        <v>10</v>
      </c>
      <c r="J60" s="39">
        <v>8</v>
      </c>
      <c r="K60" s="39">
        <v>10</v>
      </c>
      <c r="L60" s="26">
        <v>15</v>
      </c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6">
        <f t="shared" si="2"/>
        <v>70</v>
      </c>
      <c r="AC60" t="s">
        <v>97</v>
      </c>
    </row>
    <row r="61" ht="15.75" customHeight="1" spans="1:29" x14ac:dyDescent="0.25">
      <c r="A61" s="40" t="s">
        <v>146</v>
      </c>
      <c r="B61" s="38" t="s">
        <v>147</v>
      </c>
      <c r="C61" s="26">
        <v>5</v>
      </c>
      <c r="D61" s="26">
        <v>3</v>
      </c>
      <c r="E61" s="26">
        <v>4</v>
      </c>
      <c r="F61" s="26">
        <v>5</v>
      </c>
      <c r="G61" s="26">
        <v>7</v>
      </c>
      <c r="H61" s="39">
        <v>3</v>
      </c>
      <c r="I61" s="39">
        <v>10</v>
      </c>
      <c r="J61" s="39">
        <v>8</v>
      </c>
      <c r="K61" s="39">
        <v>10</v>
      </c>
      <c r="L61" s="26">
        <v>15</v>
      </c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6">
        <f t="shared" si="2"/>
        <v>70</v>
      </c>
      <c r="AC61" t="s">
        <v>97</v>
      </c>
    </row>
    <row r="62" ht="15.75" customHeight="1" spans="1:29" x14ac:dyDescent="0.25">
      <c r="A62" s="37" t="s">
        <v>148</v>
      </c>
      <c r="B62" s="38" t="s">
        <v>149</v>
      </c>
      <c r="C62" s="26">
        <v>5</v>
      </c>
      <c r="D62" s="26">
        <v>3</v>
      </c>
      <c r="E62" s="26">
        <v>4</v>
      </c>
      <c r="F62" s="26">
        <v>5</v>
      </c>
      <c r="G62" s="26">
        <v>7</v>
      </c>
      <c r="H62" s="39">
        <v>3</v>
      </c>
      <c r="I62" s="39">
        <v>10</v>
      </c>
      <c r="J62" s="39">
        <v>8</v>
      </c>
      <c r="K62" s="39">
        <v>10</v>
      </c>
      <c r="L62" s="26">
        <v>15</v>
      </c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6">
        <f t="shared" si="2"/>
        <v>70</v>
      </c>
      <c r="AC62" t="s">
        <v>97</v>
      </c>
    </row>
    <row r="63" ht="15.75" customHeight="1" spans="1:29" x14ac:dyDescent="0.25">
      <c r="A63" s="40" t="s">
        <v>150</v>
      </c>
      <c r="B63" s="38" t="s">
        <v>151</v>
      </c>
      <c r="C63" s="26">
        <v>5</v>
      </c>
      <c r="D63" s="26">
        <v>3</v>
      </c>
      <c r="E63" s="26">
        <v>4</v>
      </c>
      <c r="F63" s="26">
        <v>5</v>
      </c>
      <c r="G63" s="26">
        <v>7</v>
      </c>
      <c r="H63" s="39">
        <v>3</v>
      </c>
      <c r="I63" s="39">
        <v>10</v>
      </c>
      <c r="J63" s="39">
        <v>8</v>
      </c>
      <c r="K63" s="39">
        <v>10</v>
      </c>
      <c r="L63" s="26">
        <v>15</v>
      </c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6">
        <f t="shared" si="2"/>
        <v>70</v>
      </c>
      <c r="AC63" t="s">
        <v>97</v>
      </c>
    </row>
    <row r="64" ht="15.75" customHeight="1" spans="1:29" x14ac:dyDescent="0.25">
      <c r="A64" s="41" t="s">
        <v>152</v>
      </c>
      <c r="B64" s="42" t="s">
        <v>153</v>
      </c>
      <c r="C64" s="26">
        <v>5</v>
      </c>
      <c r="D64" s="26">
        <v>3</v>
      </c>
      <c r="E64" s="26">
        <v>4</v>
      </c>
      <c r="F64" s="26">
        <v>5</v>
      </c>
      <c r="G64" s="26">
        <v>7</v>
      </c>
      <c r="H64" s="43">
        <v>3</v>
      </c>
      <c r="I64" s="39">
        <v>10</v>
      </c>
      <c r="J64" s="39">
        <v>8</v>
      </c>
      <c r="K64" s="39">
        <v>10</v>
      </c>
      <c r="L64" s="26">
        <v>15</v>
      </c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36">
        <f t="shared" si="2"/>
        <v>70</v>
      </c>
      <c r="AC64" t="s">
        <v>97</v>
      </c>
    </row>
    <row r="65" spans="1:28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6">
        <f t="shared" si="2"/>
      </c>
    </row>
    <row r="66" spans="1:28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6">
        <f t="shared" si="2"/>
      </c>
    </row>
    <row r="67" spans="1:28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6">
        <f t="shared" si="2"/>
      </c>
    </row>
    <row r="68" spans="1:28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6">
        <f t="shared" si="2"/>
      </c>
    </row>
    <row r="69" spans="1:28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6">
        <f t="shared" si="2"/>
      </c>
    </row>
    <row r="70" spans="1:28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6">
        <f t="shared" si="2"/>
      </c>
    </row>
    <row r="71" spans="1:28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6">
        <f t="shared" si="2"/>
      </c>
    </row>
    <row r="72" spans="1:28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6">
        <f t="shared" si="2"/>
      </c>
    </row>
    <row r="73" spans="1:28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6">
        <f t="shared" si="2"/>
      </c>
    </row>
    <row r="74" spans="1:28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6">
        <f t="shared" si="2"/>
      </c>
    </row>
    <row r="75" spans="1:28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6">
        <f t="shared" si="2"/>
      </c>
    </row>
    <row r="76" spans="1:28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6">
        <f t="shared" si="2"/>
      </c>
    </row>
    <row r="77" spans="1:28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6">
        <f t="shared" si="2"/>
      </c>
    </row>
    <row r="78" spans="1:28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6">
        <f t="shared" si="2"/>
      </c>
    </row>
    <row r="79" spans="1:28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6">
        <f t="shared" si="2"/>
      </c>
    </row>
    <row r="80" spans="1:28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6">
        <f t="shared" si="2"/>
      </c>
    </row>
    <row r="81" spans="1:28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6">
        <f t="shared" si="2"/>
      </c>
    </row>
    <row r="82" spans="1:28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6">
        <f t="shared" si="2"/>
      </c>
    </row>
    <row r="83" spans="1:28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6">
        <f t="shared" ref="AB83:AB105" si="3">IF(SUM(C83:AA83)=0,"",SUM(C83:AA83))</f>
      </c>
    </row>
    <row r="84" spans="1:28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6">
        <f t="shared" si="3"/>
      </c>
    </row>
    <row r="85" spans="1:28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6">
        <f t="shared" si="3"/>
      </c>
    </row>
    <row r="86" spans="1:28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6">
        <f t="shared" si="3"/>
      </c>
    </row>
    <row r="87" spans="1:28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6">
        <f t="shared" si="3"/>
      </c>
    </row>
    <row r="88" spans="1:28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6">
        <f t="shared" si="3"/>
      </c>
    </row>
    <row r="89" spans="1:28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6">
        <f t="shared" si="3"/>
      </c>
    </row>
    <row r="90" spans="1:28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6">
        <f t="shared" si="3"/>
      </c>
    </row>
    <row r="91" spans="1:28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6">
        <f t="shared" si="3"/>
      </c>
    </row>
    <row r="92" spans="1:28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6">
        <f t="shared" si="3"/>
      </c>
    </row>
    <row r="93" spans="1:28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6">
        <f t="shared" si="3"/>
      </c>
    </row>
    <row r="94" spans="1:28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6">
        <f t="shared" si="3"/>
      </c>
    </row>
    <row r="95" spans="1:28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6">
        <f t="shared" si="3"/>
      </c>
    </row>
    <row r="96" spans="1:28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6">
        <f t="shared" si="3"/>
      </c>
    </row>
    <row r="97" spans="1:28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6">
        <f t="shared" si="3"/>
      </c>
    </row>
    <row r="98" spans="1:28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6">
        <f t="shared" si="3"/>
      </c>
    </row>
    <row r="99" spans="1:28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6">
        <f t="shared" si="3"/>
      </c>
    </row>
    <row r="100" spans="1:28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6">
        <f t="shared" si="3"/>
      </c>
    </row>
    <row r="101" spans="1:28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6">
        <f t="shared" si="3"/>
      </c>
    </row>
    <row r="102" spans="1:28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6">
        <f t="shared" si="3"/>
      </c>
    </row>
    <row r="103" spans="1:28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6">
        <f t="shared" si="3"/>
      </c>
    </row>
    <row r="104" spans="1:28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6">
        <f t="shared" si="3"/>
      </c>
    </row>
    <row r="105" spans="1:28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6">
        <f t="shared" si="3"/>
      </c>
    </row>
    <row r="106" spans="3:27" x14ac:dyDescent="0.25"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3:27" x14ac:dyDescent="0.25"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3:27" x14ac:dyDescent="0.25"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3:27" x14ac:dyDescent="0.25"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3:27" x14ac:dyDescent="0.25"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3:27" x14ac:dyDescent="0.25"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3:27" x14ac:dyDescent="0.25"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3:27" x14ac:dyDescent="0.25"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3:27" x14ac:dyDescent="0.25"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3:27" x14ac:dyDescent="0.25"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3:27" x14ac:dyDescent="0.25"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3:27" x14ac:dyDescent="0.25"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</sheetData>
  <pageMargins left="0.1377952755905512" right="0.1377952755905512" top="0.1377952755905512" bottom="0.15748031496062992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Geçenler+Bütünleme giren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2026-08-03T12:27:44Z</dcterms:created>
  <dcterms:modified xsi:type="dcterms:W3CDTF">2026-09-16T02:53:18Z</dcterms:modified>
</cp:coreProperties>
</file>